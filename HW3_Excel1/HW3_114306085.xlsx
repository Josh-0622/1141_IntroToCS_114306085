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F282D07-1332-4B75-AB20-BD815810ABCA}" xr6:coauthVersionLast="47" xr6:coauthVersionMax="47" xr10:uidLastSave="{00000000-0000-0000-0000-000000000000}"/>
  <bookViews>
    <workbookView xWindow="-110" yWindow="-110" windowWidth="25820" windowHeight="13900" xr2:uid="{60C2E2F6-AD98-4042-9BF5-DA3DB7B4AD4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9" i="1" l="1"/>
  <c r="N18" i="1"/>
  <c r="H17" i="1"/>
  <c r="D17" i="1"/>
  <c r="C17" i="1"/>
  <c r="J17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2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<sst xmlns="http://schemas.openxmlformats.org/spreadsheetml/2006/main" count="36" uniqueCount="36">
  <si>
    <t>何大美</t>
  </si>
  <si>
    <t>陳慢慢</t>
  </si>
  <si>
    <t>黃阿坤</t>
  </si>
  <si>
    <t>李大仁</t>
  </si>
  <si>
    <t>陳小奇</t>
  </si>
  <si>
    <t>羅小花</t>
  </si>
  <si>
    <t>李小君</t>
  </si>
  <si>
    <t>李大輝</t>
  </si>
  <si>
    <t>白阿國</t>
  </si>
  <si>
    <t>王小明</t>
  </si>
  <si>
    <t>李大月</t>
  </si>
  <si>
    <t>林大義</t>
  </si>
  <si>
    <t>宋小倫</t>
  </si>
  <si>
    <t>許亮亮</t>
  </si>
  <si>
    <t>number</t>
    <phoneticPr fontId="2" type="noConversion"/>
  </si>
  <si>
    <t>name</t>
    <phoneticPr fontId="2" type="noConversion"/>
  </si>
  <si>
    <t>Exam1</t>
    <phoneticPr fontId="2" type="noConversion"/>
  </si>
  <si>
    <t>Exam2</t>
    <phoneticPr fontId="2" type="noConversion"/>
  </si>
  <si>
    <t>Exam3</t>
    <phoneticPr fontId="2" type="noConversion"/>
  </si>
  <si>
    <t>Exam4</t>
    <phoneticPr fontId="2" type="noConversion"/>
  </si>
  <si>
    <t>Exam5</t>
    <phoneticPr fontId="2" type="noConversion"/>
  </si>
  <si>
    <t>Midterm</t>
    <phoneticPr fontId="2" type="noConversion"/>
  </si>
  <si>
    <t>Q1: Exam_Average</t>
    <phoneticPr fontId="2" type="noConversion"/>
  </si>
  <si>
    <t>Q2: overall score</t>
    <phoneticPr fontId="2" type="noConversion"/>
  </si>
  <si>
    <t>Q3</t>
    <phoneticPr fontId="2" type="noConversion"/>
  </si>
  <si>
    <t>Q4</t>
    <phoneticPr fontId="2" type="noConversion"/>
  </si>
  <si>
    <r>
      <t xml:space="preserve">Q5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</si>
  <si>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Q6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</si>
  <si>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Q7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</si>
  <si>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Q8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</si>
  <si>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Q9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</si>
  <si>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Q10 answer </t>
    </r>
    <r>
      <rPr>
        <sz val="12"/>
        <color theme="1"/>
        <rFont val="Wingdings"/>
        <charset val="2"/>
      </rPr>
      <t>ò</t>
    </r>
    <phoneticPr fontId="2" type="noConversion"/>
  </si>
  <si>
    <t>fail</t>
  </si>
  <si>
    <t>pass</t>
  </si>
  <si>
    <t>PassFail</t>
  </si>
  <si>
    <t>count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</si>
</sst>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9"/>
      <name val="新細明體"/>
      <family val="2"/>
      <charset val="136"/>
      <scheme val="minor"/>
    </font>
    <font>
      <sz val="12"/>
      <color rgb="FF000000"/>
      <name val="PMingLiu"/>
      <family val="1"/>
      <charset val="136"/>
    </font>
    <font>
      <sz val="12"/>
      <color theme="1"/>
      <name val="Wingdings"/>
      <charset val="2"/>
    </font>
    <font>
      <b/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>
      <alignment vertical="center"/>
    </xf>
    <xf numFmtId="0" fontId="5" fillId="0" borderId="0" xfId="0" applyFont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Students' Overall Scores</a:t>
            </a:r>
            <a:endParaRPr lang="zh-TW" altLang="en-US"/>
          </a:p>
        </c:rich>
      </c:tx>
      <c:layout>
        <c:manualLayout>
          <c:xMode val="edge"/>
          <c:yMode val="edge"/>
          <c:x val="0.3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0191863517060368"/>
          <c:y val="0.2000925925925926"/>
          <c:w val="0.89019685039370078"/>
          <c:h val="0.6397739865850101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工作表1!$B$2:$B$15</c:f>
              <c:strCache>
                <c:ptCount val="14"/>
                <c:pt idx="0">
                  <c:v>何大美</c:v>
                </c:pt>
                <c:pt idx="1">
                  <c:v>陳慢慢</c:v>
                </c:pt>
                <c:pt idx="2">
                  <c:v>黃阿坤</c:v>
                </c:pt>
                <c:pt idx="3">
                  <c:v>李大仁</c:v>
                </c:pt>
                <c:pt idx="4">
                  <c:v>陳小奇</c:v>
                </c:pt>
                <c:pt idx="5">
                  <c:v>羅小花</c:v>
                </c:pt>
                <c:pt idx="6">
                  <c:v>李小君</c:v>
                </c:pt>
                <c:pt idx="7">
                  <c:v>李大輝</c:v>
                </c:pt>
                <c:pt idx="8">
                  <c:v>白阿國</c:v>
                </c:pt>
                <c:pt idx="9">
                  <c:v>王小明</c:v>
                </c:pt>
                <c:pt idx="10">
                  <c:v>李大月</c:v>
                </c:pt>
                <c:pt idx="11">
                  <c:v>林大義</c:v>
                </c:pt>
                <c:pt idx="12">
                  <c:v>宋小倫</c:v>
                </c:pt>
                <c:pt idx="13">
                  <c:v>許亮亮</c:v>
                </c:pt>
              </c:strCache>
            </c:strRef>
          </c:cat>
          <c:val>
            <c:numRef>
              <c:f>工作表1!$J$2:$J$15</c:f>
              <c:numCache>
                <c:formatCode>General</c:formatCode>
                <c:ptCount val="14"/>
                <c:pt idx="0">
                  <c:v>91.7</c:v>
                </c:pt>
                <c:pt idx="1">
                  <c:v>90</c:v>
                </c:pt>
                <c:pt idx="2">
                  <c:v>81.2</c:v>
                </c:pt>
                <c:pt idx="3">
                  <c:v>80.8</c:v>
                </c:pt>
                <c:pt idx="4">
                  <c:v>84.7</c:v>
                </c:pt>
                <c:pt idx="5">
                  <c:v>80.8</c:v>
                </c:pt>
                <c:pt idx="6">
                  <c:v>77.900000000000006</c:v>
                </c:pt>
                <c:pt idx="7">
                  <c:v>74.2</c:v>
                </c:pt>
                <c:pt idx="8">
                  <c:v>75.2</c:v>
                </c:pt>
                <c:pt idx="9">
                  <c:v>77.599999999999994</c:v>
                </c:pt>
                <c:pt idx="10">
                  <c:v>80.599999999999994</c:v>
                </c:pt>
                <c:pt idx="11">
                  <c:v>59</c:v>
                </c:pt>
                <c:pt idx="12">
                  <c:v>66.900000000000006</c:v>
                </c:pt>
                <c:pt idx="13">
                  <c:v>55.6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6A-4BBA-927D-7BA35058C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5840800"/>
        <c:axId val="1635841760"/>
      </c:barChart>
      <c:catAx>
        <c:axId val="163584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35841760"/>
        <c:crosses val="autoZero"/>
        <c:auto val="1"/>
        <c:lblAlgn val="ctr"/>
        <c:lblOffset val="100"/>
        <c:noMultiLvlLbl val="0"/>
      </c:catAx>
      <c:valAx>
        <c:axId val="163584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3584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baseline="0"/>
              <a:t>PassFail</a:t>
            </a:r>
          </a:p>
        </c:rich>
      </c:tx>
      <c:layout>
        <c:manualLayout>
          <c:xMode val="edge"/>
          <c:yMode val="edge"/>
          <c:x val="0.44380555555555556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工作表1!$N$17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F3-4BAD-AA95-C35797988E8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1F3-4BAD-AA95-C35797988E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工作表1!$M$18:$M$19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工作表1!$N$18:$N$19</c:f>
              <c:numCache>
                <c:formatCode>General</c:formatCode>
                <c:ptCount val="2"/>
                <c:pt idx="0">
                  <c:v>12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F3-4BAD-AA95-C35797988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24</xdr:row>
      <xdr:rowOff>3175</xdr:rowOff>
    </xdr:from>
    <xdr:to>
      <xdr:col>12</xdr:col>
      <xdr:colOff>152400</xdr:colOff>
      <xdr:row>36</xdr:row>
      <xdr:rowOff>155575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0F51A71B-B4CF-D2E2-E920-313CAB2E4B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6350</xdr:colOff>
      <xdr:row>15</xdr:row>
      <xdr:rowOff>206375</xdr:rowOff>
    </xdr:from>
    <xdr:to>
      <xdr:col>21</xdr:col>
      <xdr:colOff>311150</xdr:colOff>
      <xdr:row>28</xdr:row>
      <xdr:rowOff>142875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F6F11C6D-CBE9-DA0C-40AD-2C2A56D189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FA0D-67BD-4FEB-B956-7740A55D5973}">
  <dimension ref="A1:N24"/>
  <sheetViews>
    <sheetView tabSelected="1" workbookViewId="0">
      <selection activeCell="S33" sqref="S33"/>
    </sheetView>
  </sheetViews>
  <sheetFormatPr defaultRowHeight="17"/>
  <cols>
    <col min="3" max="4" width="13" bestFit="1" customWidth="1"/>
    <col min="8" max="8" width="18.6328125" bestFit="1" customWidth="1"/>
    <col min="10" max="10" width="16.08984375" bestFit="1" customWidth="1"/>
    <col min="11" max="11" width="24.1796875" customWidth="1"/>
    <col min="12" max="12" width="23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3" t="s">
        <v>22</v>
      </c>
      <c r="I1" s="1" t="s">
        <v>21</v>
      </c>
      <c r="J1" s="3" t="s">
        <v>23</v>
      </c>
      <c r="K1" s="3" t="s">
        <v>24</v>
      </c>
      <c r="L1" s="3" t="s">
        <v>25</v>
      </c>
    </row>
    <row r="2" spans="1:12">
      <c r="A2" s="1">
        <v>4</v>
      </c>
      <c r="B2" s="1" t="s">
        <v>0</v>
      </c>
      <c r="C2" s="1">
        <v>98</v>
      </c>
      <c r="D2" s="1">
        <v>90</v>
      </c>
      <c r="E2" s="1">
        <v>95</v>
      </c>
      <c r="F2" s="1">
        <v>94</v>
      </c>
      <c r="G2" s="1">
        <v>95</v>
      </c>
      <c r="H2" s="1">
        <f>AVERAGE(C2:G2)</f>
        <v>94.4</v>
      </c>
      <c r="I2" s="1">
        <v>89</v>
      </c>
      <c r="J2">
        <f>H2*0.5+I2*0.5</f>
        <v>91.7</v>
      </c>
      <c r="K2" t="str">
        <f>IF(J2&gt;=90,"A",IF(J2&gt;=80,"B",IF(J2&gt;=70,"C",IF(J2&gt;=60,"D","F"))))</f>
        <v>A</v>
      </c>
      <c r="L2" t="str">
        <f>IF(J2&gt;=60,"pass","fail")</f>
        <v>pass</v>
      </c>
    </row>
    <row r="3" spans="1:12">
      <c r="A3" s="1">
        <v>3</v>
      </c>
      <c r="B3" s="1" t="s">
        <v>1</v>
      </c>
      <c r="C3" s="1">
        <v>88</v>
      </c>
      <c r="D3" s="1">
        <v>96</v>
      </c>
      <c r="E3" s="1">
        <v>79</v>
      </c>
      <c r="F3" s="1">
        <v>82</v>
      </c>
      <c r="G3" s="1">
        <v>85</v>
      </c>
      <c r="H3" s="1">
        <f>AVERAGE(C3:G3)</f>
        <v>86</v>
      </c>
      <c r="I3" s="1">
        <v>94</v>
      </c>
      <c r="J3">
        <f t="shared" ref="J3:J15" si="0">H3*0.5+I3*0.5</f>
        <v>90</v>
      </c>
      <c r="K3" t="str">
        <f t="shared" ref="K3:K15" si="1">IF(J3&gt;=90,"A",IF(J3&gt;=80,"B",IF(J3&gt;=70,"C",IF(J3&gt;=60,"D","F"))))</f>
        <v>A</v>
      </c>
      <c r="L3" t="str">
        <f t="shared" ref="L3:L15" si="2">IF(J3&gt;=60,"pass","fail")</f>
        <v>pass</v>
      </c>
    </row>
    <row r="4" spans="1:12">
      <c r="A4" s="1">
        <v>10</v>
      </c>
      <c r="B4" s="1" t="s">
        <v>2</v>
      </c>
      <c r="C4" s="1">
        <v>90</v>
      </c>
      <c r="D4" s="1">
        <v>64</v>
      </c>
      <c r="E4" s="1">
        <v>91</v>
      </c>
      <c r="F4" s="1">
        <v>82</v>
      </c>
      <c r="G4" s="1">
        <v>85</v>
      </c>
      <c r="H4" s="1">
        <f>AVERAGE(C4:G4)</f>
        <v>82.4</v>
      </c>
      <c r="I4" s="1">
        <v>80</v>
      </c>
      <c r="J4">
        <f t="shared" si="0"/>
        <v>81.2</v>
      </c>
      <c r="K4" t="str">
        <f t="shared" si="1"/>
        <v>B</v>
      </c>
      <c r="L4" t="str">
        <f t="shared" si="2"/>
        <v>pass</v>
      </c>
    </row>
    <row r="5" spans="1:12">
      <c r="A5" s="1">
        <v>6</v>
      </c>
      <c r="B5" s="1" t="s">
        <v>3</v>
      </c>
      <c r="C5" s="1">
        <v>67</v>
      </c>
      <c r="D5" s="1">
        <v>79</v>
      </c>
      <c r="E5" s="1">
        <v>82</v>
      </c>
      <c r="F5" s="1">
        <v>85</v>
      </c>
      <c r="G5" s="1">
        <v>95</v>
      </c>
      <c r="H5" s="1">
        <f>AVERAGE(C5:G5)</f>
        <v>81.599999999999994</v>
      </c>
      <c r="I5" s="1">
        <v>80</v>
      </c>
      <c r="J5">
        <f t="shared" si="0"/>
        <v>80.8</v>
      </c>
      <c r="K5" t="str">
        <f t="shared" si="1"/>
        <v>B</v>
      </c>
      <c r="L5" t="str">
        <f t="shared" si="2"/>
        <v>pass</v>
      </c>
    </row>
    <row r="6" spans="1:12">
      <c r="A6" s="1">
        <v>2</v>
      </c>
      <c r="B6" s="1" t="s">
        <v>4</v>
      </c>
      <c r="C6" s="1">
        <v>78</v>
      </c>
      <c r="D6" s="1">
        <v>89</v>
      </c>
      <c r="E6" s="1">
        <v>90</v>
      </c>
      <c r="F6" s="1">
        <v>77</v>
      </c>
      <c r="G6" s="1">
        <v>73</v>
      </c>
      <c r="H6" s="1">
        <f>AVERAGE(C6:G6)</f>
        <v>81.400000000000006</v>
      </c>
      <c r="I6" s="1">
        <v>88</v>
      </c>
      <c r="J6">
        <f t="shared" si="0"/>
        <v>84.7</v>
      </c>
      <c r="K6" t="str">
        <f t="shared" si="1"/>
        <v>B</v>
      </c>
      <c r="L6" t="str">
        <f t="shared" si="2"/>
        <v>pass</v>
      </c>
    </row>
    <row r="7" spans="1:12">
      <c r="A7" s="1">
        <v>5</v>
      </c>
      <c r="B7" s="1" t="s">
        <v>5</v>
      </c>
      <c r="C7" s="1">
        <v>87</v>
      </c>
      <c r="D7" s="1">
        <v>76</v>
      </c>
      <c r="E7" s="1">
        <v>78</v>
      </c>
      <c r="F7" s="1">
        <v>82</v>
      </c>
      <c r="G7" s="1">
        <v>80</v>
      </c>
      <c r="H7" s="1">
        <f>AVERAGE(C7:G7)</f>
        <v>80.599999999999994</v>
      </c>
      <c r="I7" s="1">
        <v>81</v>
      </c>
      <c r="J7">
        <f t="shared" si="0"/>
        <v>80.8</v>
      </c>
      <c r="K7" t="str">
        <f t="shared" si="1"/>
        <v>B</v>
      </c>
      <c r="L7" t="str">
        <f t="shared" si="2"/>
        <v>pass</v>
      </c>
    </row>
    <row r="8" spans="1:12">
      <c r="A8" s="1">
        <v>7</v>
      </c>
      <c r="B8" s="1" t="s">
        <v>6</v>
      </c>
      <c r="C8" s="1">
        <v>77</v>
      </c>
      <c r="D8" s="1">
        <v>80</v>
      </c>
      <c r="E8" s="1">
        <v>63</v>
      </c>
      <c r="F8" s="1">
        <v>85</v>
      </c>
      <c r="G8" s="1">
        <v>89</v>
      </c>
      <c r="H8" s="1">
        <f>AVERAGE(C8:G8)</f>
        <v>78.8</v>
      </c>
      <c r="I8" s="1">
        <v>77</v>
      </c>
      <c r="J8">
        <f t="shared" si="0"/>
        <v>77.900000000000006</v>
      </c>
      <c r="K8" t="str">
        <f t="shared" si="1"/>
        <v>C</v>
      </c>
      <c r="L8" t="str">
        <f t="shared" si="2"/>
        <v>pass</v>
      </c>
    </row>
    <row r="9" spans="1:12">
      <c r="A9" s="1">
        <v>9</v>
      </c>
      <c r="B9" s="1" t="s">
        <v>7</v>
      </c>
      <c r="C9" s="1">
        <v>86</v>
      </c>
      <c r="D9" s="1">
        <v>92</v>
      </c>
      <c r="E9" s="1">
        <v>79</v>
      </c>
      <c r="F9" s="1">
        <v>73</v>
      </c>
      <c r="G9" s="1">
        <v>47</v>
      </c>
      <c r="H9" s="1">
        <f>AVERAGE(C9:G9)</f>
        <v>75.400000000000006</v>
      </c>
      <c r="I9" s="1">
        <v>73</v>
      </c>
      <c r="J9">
        <f t="shared" si="0"/>
        <v>74.2</v>
      </c>
      <c r="K9" t="str">
        <f t="shared" si="1"/>
        <v>C</v>
      </c>
      <c r="L9" t="str">
        <f t="shared" si="2"/>
        <v>pass</v>
      </c>
    </row>
    <row r="10" spans="1:12">
      <c r="A10" s="1">
        <v>13</v>
      </c>
      <c r="B10" s="1" t="s">
        <v>8</v>
      </c>
      <c r="C10" s="1">
        <v>67</v>
      </c>
      <c r="D10" s="1">
        <v>88</v>
      </c>
      <c r="E10" s="1">
        <v>71</v>
      </c>
      <c r="F10" s="1">
        <v>44</v>
      </c>
      <c r="G10" s="1">
        <v>97</v>
      </c>
      <c r="H10" s="1">
        <f>AVERAGE(C10:G10)</f>
        <v>73.400000000000006</v>
      </c>
      <c r="I10" s="1">
        <v>77</v>
      </c>
      <c r="J10">
        <f t="shared" si="0"/>
        <v>75.2</v>
      </c>
      <c r="K10" t="str">
        <f t="shared" si="1"/>
        <v>C</v>
      </c>
      <c r="L10" t="str">
        <f t="shared" si="2"/>
        <v>pass</v>
      </c>
    </row>
    <row r="11" spans="1:12">
      <c r="A11" s="1">
        <v>1</v>
      </c>
      <c r="B11" s="1" t="s">
        <v>9</v>
      </c>
      <c r="C11" s="1">
        <v>65</v>
      </c>
      <c r="D11" s="1">
        <v>54</v>
      </c>
      <c r="E11" s="1">
        <v>88</v>
      </c>
      <c r="F11" s="1">
        <v>92</v>
      </c>
      <c r="G11" s="1">
        <v>67</v>
      </c>
      <c r="H11" s="1">
        <f>AVERAGE(C11:G11)</f>
        <v>73.2</v>
      </c>
      <c r="I11" s="1">
        <v>82</v>
      </c>
      <c r="J11">
        <f t="shared" si="0"/>
        <v>77.599999999999994</v>
      </c>
      <c r="K11" t="str">
        <f t="shared" si="1"/>
        <v>C</v>
      </c>
      <c r="L11" t="str">
        <f t="shared" si="2"/>
        <v>pass</v>
      </c>
    </row>
    <row r="12" spans="1:12">
      <c r="A12" s="1">
        <v>8</v>
      </c>
      <c r="B12" s="1" t="s">
        <v>10</v>
      </c>
      <c r="C12" s="1">
        <v>72</v>
      </c>
      <c r="D12" s="1">
        <v>83</v>
      </c>
      <c r="E12" s="1">
        <v>62</v>
      </c>
      <c r="F12" s="2">
        <v>67</v>
      </c>
      <c r="G12" s="1">
        <v>82</v>
      </c>
      <c r="H12" s="1">
        <f>AVERAGE(C12:G12)</f>
        <v>73.2</v>
      </c>
      <c r="I12" s="1">
        <v>88</v>
      </c>
      <c r="J12">
        <f t="shared" si="0"/>
        <v>80.599999999999994</v>
      </c>
      <c r="K12" t="str">
        <f t="shared" si="1"/>
        <v>B</v>
      </c>
      <c r="L12" t="str">
        <f t="shared" si="2"/>
        <v>pass</v>
      </c>
    </row>
    <row r="13" spans="1:12">
      <c r="A13" s="1">
        <v>12</v>
      </c>
      <c r="B13" s="1" t="s">
        <v>11</v>
      </c>
      <c r="C13" s="1">
        <v>72</v>
      </c>
      <c r="D13" s="1">
        <v>35</v>
      </c>
      <c r="E13" s="1">
        <v>34</v>
      </c>
      <c r="F13" s="1">
        <v>97</v>
      </c>
      <c r="G13" s="1">
        <v>92</v>
      </c>
      <c r="H13" s="1">
        <f>AVERAGE(C13:G13)</f>
        <v>66</v>
      </c>
      <c r="I13" s="1">
        <v>52</v>
      </c>
      <c r="J13">
        <f t="shared" si="0"/>
        <v>59</v>
      </c>
      <c r="K13" t="str">
        <f t="shared" si="1"/>
        <v>F</v>
      </c>
      <c r="L13" t="str">
        <f t="shared" si="2"/>
        <v>fail</v>
      </c>
    </row>
    <row r="14" spans="1:12">
      <c r="A14" s="1">
        <v>11</v>
      </c>
      <c r="B14" s="1" t="s">
        <v>12</v>
      </c>
      <c r="C14" s="1">
        <v>81</v>
      </c>
      <c r="D14" s="1">
        <v>55</v>
      </c>
      <c r="E14" s="1">
        <v>62</v>
      </c>
      <c r="F14" s="1">
        <v>47</v>
      </c>
      <c r="G14" s="1">
        <v>79</v>
      </c>
      <c r="H14" s="1">
        <f>AVERAGE(C14:G14)</f>
        <v>64.8</v>
      </c>
      <c r="I14" s="1">
        <v>69</v>
      </c>
      <c r="J14">
        <f t="shared" si="0"/>
        <v>66.900000000000006</v>
      </c>
      <c r="K14" t="str">
        <f t="shared" si="1"/>
        <v>D</v>
      </c>
      <c r="L14" t="str">
        <f t="shared" si="2"/>
        <v>pass</v>
      </c>
    </row>
    <row r="15" spans="1:12">
      <c r="A15" s="1">
        <v>14</v>
      </c>
      <c r="B15" s="1" t="s">
        <v>13</v>
      </c>
      <c r="C15" s="1">
        <v>59</v>
      </c>
      <c r="D15" s="1">
        <v>77</v>
      </c>
      <c r="E15" s="1">
        <v>71</v>
      </c>
      <c r="F15" s="1">
        <v>45</v>
      </c>
      <c r="G15" s="1">
        <v>34</v>
      </c>
      <c r="H15" s="1">
        <f>AVERAGE(C15:G15)</f>
        <v>57.2</v>
      </c>
      <c r="I15" s="1">
        <v>54</v>
      </c>
      <c r="J15">
        <f t="shared" si="0"/>
        <v>55.6</v>
      </c>
      <c r="K15" t="str">
        <f t="shared" si="1"/>
        <v>F</v>
      </c>
      <c r="L15" t="str">
        <f t="shared" si="2"/>
        <v>fail</v>
      </c>
    </row>
    <row r="16" spans="1:12">
      <c r="C16" s="4" t="s">
        <v>27</v>
      </c>
      <c r="D16" s="4" t="s">
        <v>28</v>
      </c>
      <c r="H16" s="4" t="s">
        <v>29</v>
      </c>
      <c r="J16" s="4" t="s">
        <v>26</v>
      </c>
      <c r="L16" s="4" t="s">
        <v>31</v>
      </c>
    </row>
    <row r="17" spans="3:14">
      <c r="C17">
        <f>MAX(C2:C15)</f>
        <v>98</v>
      </c>
      <c r="D17">
        <f>LARGE(D2:D15,2)</f>
        <v>92</v>
      </c>
      <c r="H17">
        <f>COUNTIF(H2:H15,"&lt;80")</f>
        <v>8</v>
      </c>
      <c r="J17">
        <f>AVERAGE(J2:J15)</f>
        <v>76.871428571428581</v>
      </c>
      <c r="M17" s="5" t="s">
        <v>34</v>
      </c>
      <c r="N17" t="s">
        <v>35</v>
      </c>
    </row>
    <row r="18" spans="3:14">
      <c r="M18" t="s">
        <v>33</v>
      </c>
      <c r="N18">
        <f>COUNTIF(L2:L15,"pass")</f>
        <v>12</v>
      </c>
    </row>
    <row r="19" spans="3:14">
      <c r="M19" t="s">
        <v>32</v>
      </c>
      <c r="N19">
        <f>COUNTIF(L2:L15,"fail")</f>
        <v>2</v>
      </c>
    </row>
    <row r="24" spans="3:14">
      <c r="J24" s="4" t="s">
        <v>30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芷嫺 簡</dc:creator>
  <cp:lastModifiedBy>敘辰 吳</cp:lastModifiedBy>
  <dcterms:created xsi:type="dcterms:W3CDTF">2023-10-19T05:27:10Z</dcterms:created>
  <dcterms:modified xsi:type="dcterms:W3CDTF">2025-10-09T15:27:16Z</dcterms:modified>
</cp:coreProperties>
</file>